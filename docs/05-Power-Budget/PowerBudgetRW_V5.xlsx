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b68fd161cc875d/Documents/EGR304 Website Stuff/"/>
    </mc:Choice>
  </mc:AlternateContent>
  <xr:revisionPtr revIDLastSave="6" documentId="8_{C3F4D823-2AB9-4764-845B-92F72D4954E4}" xr6:coauthVersionLast="47" xr6:coauthVersionMax="47" xr10:uidLastSave="{A47AACC0-0FE1-4726-A8AE-E41346BE361D}"/>
  <bookViews>
    <workbookView xWindow="-120" yWindow="-120" windowWidth="29040" windowHeight="15720" xr2:uid="{00000000-000D-0000-FFFF-FFFF00000000}"/>
  </bookViews>
  <sheets>
    <sheet name="Power Budget" sheetId="1" r:id="rId1"/>
  </sheets>
  <definedNames>
    <definedName name="_xlnm.Print_Area" localSheetId="0">'Power Budget'!$A$1:$H$46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22" i="1"/>
  <c r="G23" i="1"/>
  <c r="G12" i="1"/>
  <c r="G46" i="1"/>
  <c r="G39" i="1"/>
  <c r="G32" i="1"/>
  <c r="G17" i="1"/>
  <c r="G11" i="1"/>
  <c r="G41" i="1" l="1"/>
  <c r="G24" i="1"/>
  <c r="G26" i="1" s="1"/>
  <c r="G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<sst xmlns="http://schemas.openxmlformats.org/spreadsheetml/2006/main" count="141" uniqueCount="70">
  <si>
    <t>Team Number:</t>
  </si>
  <si>
    <t>Project Name:</t>
  </si>
  <si>
    <t>Version:</t>
  </si>
  <si>
    <t>A. List ALL major components (active devices, integrated circuits, etc.) except for power sources, voltage regulators, resistors, capacitors, or passive elements</t>
  </si>
  <si>
    <t>All Major Components</t>
  </si>
  <si>
    <t>Component Name</t>
  </si>
  <si>
    <t>Part Number</t>
  </si>
  <si>
    <t>Supply
Voltage
Range</t>
  </si>
  <si>
    <t>Absolute
Maximum
Current (mA)</t>
  </si>
  <si>
    <t>Total
Current
(mA)</t>
  </si>
  <si>
    <t>Unit</t>
  </si>
  <si>
    <t>mA</t>
  </si>
  <si>
    <t xml:space="preserve">Subtotal </t>
  </si>
  <si>
    <t>Safety Margin</t>
  </si>
  <si>
    <t xml:space="preserve"> +5V Power Rail</t>
  </si>
  <si>
    <t>Total Current Required on +5V Rail</t>
  </si>
  <si>
    <t xml:space="preserve"> +5V Regulator</t>
  </si>
  <si>
    <t>LM7805</t>
  </si>
  <si>
    <t>Total Remaining Current Available on +5V Rail</t>
  </si>
  <si>
    <t>External Power Source 1</t>
  </si>
  <si>
    <t>Output Voltage</t>
  </si>
  <si>
    <t>Power Source 1 Selection</t>
  </si>
  <si>
    <t>Power Rails Connected to External Power Source 1</t>
  </si>
  <si>
    <t>Total Remaining Current Available on External Power Source 1</t>
  </si>
  <si>
    <t>Capacity
(mAh)</t>
  </si>
  <si>
    <t>Required
By
Regulators</t>
  </si>
  <si>
    <t>Battery Life</t>
  </si>
  <si>
    <t>hours</t>
  </si>
  <si>
    <t>External Supply Voltage should be determined by the dropout voltage for highest-voltage regulator (e.g., +14V for a +12V regulator).</t>
  </si>
  <si>
    <t>If you have multiple units in your design (e.g., a base unit and remote unit) then you need a separate power budget for each unit</t>
  </si>
  <si>
    <t>Supply Voltage Range</t>
  </si>
  <si>
    <t>Qty.</t>
  </si>
  <si>
    <t>Regulator</t>
  </si>
  <si>
    <t>Total Current
(mA)</t>
  </si>
  <si>
    <t>Absolute Maximum Current (mA)</t>
  </si>
  <si>
    <t>Notes:</t>
  </si>
  <si>
    <t>Calculated Battery Life</t>
  </si>
  <si>
    <t>Garden Buddy</t>
  </si>
  <si>
    <t>Team Member Name:</t>
  </si>
  <si>
    <t>Rylee Wirt</t>
  </si>
  <si>
    <t>PIC18F57Q43 Curiosity Nano</t>
  </si>
  <si>
    <t>LM7805 Linear Regulator</t>
  </si>
  <si>
    <t>Regulator quiescent</t>
  </si>
  <si>
    <t>DM164150</t>
  </si>
  <si>
    <t>WP710A10SRD/J4</t>
  </si>
  <si>
    <t>LM7805CT</t>
  </si>
  <si>
    <t>N/A</t>
  </si>
  <si>
    <t xml:space="preserve"> +7 - 25V</t>
  </si>
  <si>
    <t xml:space="preserve"> +1.8 - 5.1V</t>
  </si>
  <si>
    <t xml:space="preserve"> +5.0V</t>
  </si>
  <si>
    <t>PIC18F57Q43 Curiosity Nano Board</t>
  </si>
  <si>
    <t>Red LED Indicator</t>
  </si>
  <si>
    <t xml:space="preserve"> +1.8 - 2.2V</t>
  </si>
  <si>
    <t>Regulator/Wiring Allowance</t>
  </si>
  <si>
    <t>5.0V rail</t>
  </si>
  <si>
    <t>LM7805 Linear Voltage Regulator</t>
  </si>
  <si>
    <t>5V Wall Adapter (Regulated, Certified)</t>
  </si>
  <si>
    <t>100 - 240VAC</t>
  </si>
  <si>
    <t>Generic UL/CE</t>
  </si>
  <si>
    <t>Power Budget</t>
  </si>
  <si>
    <t>02</t>
  </si>
  <si>
    <t>2N3904 (NPN transistor)</t>
  </si>
  <si>
    <t>2N3906 (NPN transistor)</t>
  </si>
  <si>
    <t>2N3906</t>
  </si>
  <si>
    <t>2N3904</t>
  </si>
  <si>
    <t>40V</t>
  </si>
  <si>
    <t>8 Ω Mylar Mini Speaker</t>
  </si>
  <si>
    <t>0 - +5V</t>
  </si>
  <si>
    <t>5V</t>
  </si>
  <si>
    <t>CE-2808B36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</si>
</sst>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rgb="FF000000"/>
      <name val="Calibri"/>
    </font>
    <font>
      <b/>
      <sz val="2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i/>
      <sz val="12"/>
      <color rgb="FF000000"/>
      <name val="Calibri"/>
      <family val="2"/>
    </font>
    <font>
      <b/>
      <sz val="12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2" fillId="0" borderId="4" xfId="0" applyFont="1" applyBorder="1"/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9" fontId="2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16" xfId="0" applyFont="1" applyFill="1" applyBorder="1" applyAlignment="1">
      <alignment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left"/>
    </xf>
    <xf numFmtId="0" fontId="2" fillId="0" borderId="2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0" borderId="24" xfId="0" applyFont="1" applyBorder="1"/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2" fillId="0" borderId="21" xfId="0" applyFont="1" applyBorder="1"/>
    <xf numFmtId="0" fontId="2" fillId="0" borderId="23" xfId="0" applyFont="1" applyBorder="1"/>
    <xf numFmtId="0" fontId="2" fillId="0" borderId="24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3" fillId="3" borderId="13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5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 wrapText="1"/>
    </xf>
    <xf numFmtId="0" fontId="0" fillId="0" borderId="6" xfId="0" applyBorder="1"/>
    <xf numFmtId="0" fontId="2" fillId="0" borderId="6" xfId="0" quotePrefix="1" applyFont="1" applyBorder="1"/>
    <xf numFmtId="49" fontId="3" fillId="0" borderId="4" xfId="0" quotePrefix="1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0" fillId="0" borderId="8" xfId="0" applyBorder="1"/>
    <xf numFmtId="0" fontId="0" fillId="0" borderId="4" xfId="0" applyBorder="1" applyAlignment="1">
      <alignment vertical="center" wrapText="1"/>
    </xf>
    <xf numFmtId="0" fontId="2" fillId="0" borderId="31" xfId="0" applyFont="1" applyBorder="1" applyAlignment="1">
      <alignment wrapText="1"/>
    </xf>
    <xf numFmtId="0" fontId="2" fillId="4" borderId="23" xfId="0" applyFont="1" applyFill="1" applyBorder="1" applyAlignment="1">
      <alignment horizontal="left" wrapText="1"/>
    </xf>
    <xf numFmtId="0" fontId="5" fillId="2" borderId="29" xfId="0" applyFont="1" applyFill="1" applyBorder="1"/>
    <xf numFmtId="0" fontId="5" fillId="0" borderId="8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  <xf numFmtId="0" fontId="3" fillId="0" borderId="13" xfId="0" applyFont="1" applyBorder="1" applyAlignment="1">
      <alignment horizontal="left" vertical="center" wrapText="1"/>
    </xf>
    <xf numFmtId="0" fontId="4" fillId="0" borderId="13" xfId="0" applyFont="1" applyBorder="1"/>
    <xf numFmtId="0" fontId="4" fillId="0" borderId="21" xfId="0" applyFont="1" applyBorder="1"/>
    <xf numFmtId="0" fontId="0" fillId="0" borderId="4" xfId="0" applyBorder="1"/>
    <xf numFmtId="0" fontId="2" fillId="0" borderId="4" xfId="0" applyFont="1" applyBorder="1" applyAlignment="1">
      <alignment wrapText="1"/>
    </xf>
    <xf numFmtId="0" fontId="2" fillId="0" borderId="32" xfId="0" applyFont="1" applyBorder="1" applyAlignment="1">
      <alignment wrapText="1"/>
    </xf>
    <xf numFmtId="0" fontId="2" fillId="4" borderId="24" xfId="0" applyFont="1" applyFill="1" applyBorder="1" applyAlignment="1">
      <alignment horizontal="left" wrapText="1"/>
    </xf>
    <xf numFmtId="0" fontId="2" fillId="4" borderId="33" xfId="0" applyFont="1" applyFill="1" applyBorder="1" applyAlignment="1">
      <alignment horizontal="left" wrapText="1"/>
    </xf>
    <xf numFmtId="49" fontId="5" fillId="0" borderId="40" xfId="0" applyNumberFormat="1" applyFont="1" applyBorder="1" applyAlignment="1">
      <alignment horizontal="right"/>
    </xf>
    <xf numFmtId="49" fontId="5" fillId="0" borderId="41" xfId="0" applyNumberFormat="1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0" fontId="5" fillId="2" borderId="37" xfId="0" applyFont="1" applyFill="1" applyBorder="1" applyAlignment="1">
      <alignment wrapText="1"/>
    </xf>
    <xf numFmtId="0" fontId="5" fillId="2" borderId="38" xfId="0" applyFont="1" applyFill="1" applyBorder="1" applyAlignment="1">
      <alignment wrapText="1"/>
    </xf>
    <xf numFmtId="0" fontId="5" fillId="2" borderId="39" xfId="0" applyFont="1" applyFill="1" applyBorder="1" applyAlignment="1">
      <alignment wrapText="1"/>
    </xf>
    <xf numFmtId="0" fontId="5" fillId="2" borderId="28" xfId="0" applyFont="1" applyFill="1" applyBorder="1"/>
    <xf numFmtId="0" fontId="5" fillId="0" borderId="4" xfId="0" applyFont="1" applyBorder="1" applyAlignment="1">
      <alignment horizontal="right"/>
    </xf>
  </cellXfs>
  <cellStyles count="1">
    <cellStyle name="Normal" xfId="0" builtinId="0"/>
  </cellStyles>
  <dxfs count="1"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J72"/>
  <sheetViews>
    <sheetView tabSelected="1" topLeftCell="A18" zoomScaleNormal="100" workbookViewId="0">
      <selection activeCell="J32" sqref="J32"/>
    </sheetView>
  </sheetViews>
  <sheetFormatPr defaultColWidth="13.5" defaultRowHeight="15.75" customHeight="1" x14ac:dyDescent="0.25"/>
  <cols>
    <col min="1" max="1" width="22.5" style="1" customWidth="1"/>
    <col min="2" max="2" width="45.75" style="1" bestFit="1" customWidth="1"/>
    <col min="3" max="3" width="15.75" style="1" customWidth="1"/>
    <col min="4" max="4" width="11.875" style="1" bestFit="1" customWidth="1"/>
    <col min="5" max="5" width="7.25" style="1" customWidth="1"/>
    <col min="6" max="6" width="12.375" style="5" customWidth="1"/>
    <col min="7" max="7" width="11.375" style="5" customWidth="1"/>
    <col min="8" max="8" width="9" style="5" customWidth="1"/>
    <col min="9" max="16384" width="13.5" style="1"/>
  </cols>
  <sheetData>
    <row r="1" spans="1:8" ht="30" customHeight="1" x14ac:dyDescent="0.5">
      <c r="A1" s="77" t="s">
        <v>59</v>
      </c>
      <c r="B1" s="78"/>
      <c r="C1" s="78"/>
      <c r="D1" s="78"/>
      <c r="E1" s="78"/>
      <c r="F1" s="78"/>
      <c r="G1" s="78"/>
      <c r="H1" s="78"/>
    </row>
    <row r="2" spans="1:8" ht="15" customHeight="1" x14ac:dyDescent="0.25">
      <c r="A2" s="9" t="s">
        <v>0</v>
      </c>
      <c r="B2" s="68">
        <v>201</v>
      </c>
      <c r="D2" s="2"/>
      <c r="E2" s="2"/>
    </row>
    <row r="3" spans="1:8" ht="15" customHeight="1" x14ac:dyDescent="0.25">
      <c r="A3" s="9" t="s">
        <v>1</v>
      </c>
      <c r="B3" s="11" t="s">
        <v>37</v>
      </c>
      <c r="C3" s="3"/>
      <c r="D3" s="2"/>
      <c r="E3" s="2"/>
      <c r="F3" s="2"/>
      <c r="G3" s="2"/>
      <c r="H3" s="2"/>
    </row>
    <row r="4" spans="1:8" ht="15" customHeight="1" x14ac:dyDescent="0.25">
      <c r="A4" s="9" t="s">
        <v>38</v>
      </c>
      <c r="B4" s="11" t="s">
        <v>39</v>
      </c>
      <c r="C4" s="3"/>
      <c r="D4" s="2"/>
      <c r="E4" s="2"/>
      <c r="F4" s="2"/>
      <c r="G4" s="2"/>
      <c r="H4" s="2"/>
    </row>
    <row r="5" spans="1:8" ht="15" customHeight="1" x14ac:dyDescent="0.25">
      <c r="A5" s="9" t="s">
        <v>2</v>
      </c>
      <c r="B5" s="67" t="s">
        <v>60</v>
      </c>
      <c r="C5" s="3"/>
      <c r="D5" s="2"/>
      <c r="E5" s="2"/>
      <c r="F5" s="2"/>
      <c r="G5" s="2"/>
      <c r="H5" s="2"/>
    </row>
    <row r="6" spans="1:8" ht="15" customHeight="1" x14ac:dyDescent="0.25">
      <c r="A6" s="3"/>
      <c r="B6" s="3"/>
      <c r="C6" s="3"/>
      <c r="D6" s="2"/>
      <c r="E6" s="2"/>
      <c r="F6" s="2"/>
      <c r="G6" s="2"/>
      <c r="H6" s="2"/>
    </row>
    <row r="7" spans="1:8" ht="15" hidden="1" customHeight="1" x14ac:dyDescent="0.25">
      <c r="A7" s="79" t="s">
        <v>3</v>
      </c>
      <c r="B7" s="80"/>
      <c r="C7" s="80"/>
      <c r="D7" s="80"/>
      <c r="E7" s="80"/>
      <c r="F7" s="80"/>
      <c r="G7" s="80"/>
      <c r="H7" s="81"/>
    </row>
    <row r="8" spans="1:8" ht="48" thickBot="1" x14ac:dyDescent="0.3">
      <c r="A8" s="15" t="s">
        <v>4</v>
      </c>
      <c r="B8" s="63" t="s">
        <v>5</v>
      </c>
      <c r="C8" s="63" t="s">
        <v>6</v>
      </c>
      <c r="D8" s="64" t="s">
        <v>30</v>
      </c>
      <c r="E8" s="63" t="s">
        <v>31</v>
      </c>
      <c r="F8" s="64" t="s">
        <v>34</v>
      </c>
      <c r="G8" s="64" t="s">
        <v>33</v>
      </c>
      <c r="H8" s="63" t="s">
        <v>10</v>
      </c>
    </row>
    <row r="9" spans="1:8" ht="15" customHeight="1" x14ac:dyDescent="0.25">
      <c r="A9" s="4"/>
      <c r="B9" s="65" t="s">
        <v>40</v>
      </c>
      <c r="C9" s="65" t="s">
        <v>43</v>
      </c>
      <c r="D9" s="66" t="s">
        <v>48</v>
      </c>
      <c r="E9" s="65">
        <v>1</v>
      </c>
      <c r="F9" s="65">
        <v>100</v>
      </c>
      <c r="G9" s="65">
        <v>100</v>
      </c>
      <c r="H9" s="65" t="s">
        <v>11</v>
      </c>
    </row>
    <row r="10" spans="1:8" ht="15" customHeight="1" x14ac:dyDescent="0.25">
      <c r="A10" s="4"/>
      <c r="B10" s="69" t="s">
        <v>61</v>
      </c>
      <c r="C10" s="85" t="s">
        <v>64</v>
      </c>
      <c r="D10" s="66" t="s">
        <v>68</v>
      </c>
      <c r="E10" s="65">
        <v>1</v>
      </c>
      <c r="F10" s="65">
        <v>200</v>
      </c>
      <c r="G10" s="65">
        <v>200</v>
      </c>
      <c r="H10" s="65" t="s">
        <v>11</v>
      </c>
    </row>
    <row r="11" spans="1:8" ht="15" customHeight="1" x14ac:dyDescent="0.25">
      <c r="A11" s="4"/>
      <c r="B11" s="69" t="s">
        <v>62</v>
      </c>
      <c r="C11" s="70" t="s">
        <v>63</v>
      </c>
      <c r="D11" s="66" t="s">
        <v>68</v>
      </c>
      <c r="E11" s="65">
        <v>1</v>
      </c>
      <c r="F11" s="65">
        <v>200</v>
      </c>
      <c r="G11" s="65">
        <f t="shared" ref="G11" si="0">E11*F11</f>
        <v>200</v>
      </c>
      <c r="H11" s="65" t="s">
        <v>11</v>
      </c>
    </row>
    <row r="12" spans="1:8" ht="15" customHeight="1" x14ac:dyDescent="0.25">
      <c r="A12" s="4"/>
      <c r="B12" s="69" t="s">
        <v>66</v>
      </c>
      <c r="C12" t="s">
        <v>69</v>
      </c>
      <c r="D12" s="66" t="s">
        <v>67</v>
      </c>
      <c r="E12" s="65">
        <v>1</v>
      </c>
      <c r="F12" s="65">
        <v>625</v>
      </c>
      <c r="G12" s="65">
        <f>5/8</f>
        <v>0.625</v>
      </c>
      <c r="H12" s="65" t="s">
        <v>11</v>
      </c>
    </row>
    <row r="13" spans="1:8" ht="15" customHeight="1" x14ac:dyDescent="0.25">
      <c r="A13" s="4"/>
      <c r="B13" s="65" t="s">
        <v>41</v>
      </c>
      <c r="C13" s="65" t="s">
        <v>45</v>
      </c>
      <c r="D13" s="12" t="s">
        <v>47</v>
      </c>
      <c r="E13" s="65">
        <v>1</v>
      </c>
      <c r="F13" s="65">
        <v>5</v>
      </c>
      <c r="G13" s="65">
        <v>5</v>
      </c>
      <c r="H13" s="65" t="s">
        <v>11</v>
      </c>
    </row>
    <row r="14" spans="1:8" ht="15" customHeight="1" x14ac:dyDescent="0.25">
      <c r="A14" s="4"/>
      <c r="B14" s="65" t="s">
        <v>42</v>
      </c>
      <c r="C14" s="65" t="s">
        <v>46</v>
      </c>
      <c r="D14" s="12" t="s">
        <v>49</v>
      </c>
      <c r="E14" s="65">
        <v>1</v>
      </c>
      <c r="F14" s="65">
        <v>5</v>
      </c>
      <c r="G14" s="65">
        <v>5</v>
      </c>
      <c r="H14" s="65" t="s">
        <v>11</v>
      </c>
    </row>
    <row r="15" spans="1:8" ht="15" customHeight="1" x14ac:dyDescent="0.25">
      <c r="A15" s="26"/>
      <c r="B15" s="27"/>
      <c r="C15" s="10"/>
      <c r="D15" s="10"/>
      <c r="E15" s="10"/>
      <c r="F15" s="10"/>
      <c r="G15" s="25"/>
      <c r="H15" s="25"/>
    </row>
    <row r="16" spans="1:8" ht="48" thickBot="1" x14ac:dyDescent="0.3">
      <c r="A16" s="31" t="s">
        <v>14</v>
      </c>
      <c r="B16" s="63" t="s">
        <v>5</v>
      </c>
      <c r="C16" s="63" t="s">
        <v>6</v>
      </c>
      <c r="D16" s="64" t="s">
        <v>7</v>
      </c>
      <c r="E16" s="63" t="s">
        <v>31</v>
      </c>
      <c r="F16" s="64" t="s">
        <v>8</v>
      </c>
      <c r="G16" s="64" t="s">
        <v>9</v>
      </c>
      <c r="H16" s="63" t="s">
        <v>10</v>
      </c>
    </row>
    <row r="17" spans="1:8" ht="15" customHeight="1" x14ac:dyDescent="0.25">
      <c r="A17" s="4"/>
      <c r="B17" s="12" t="s">
        <v>50</v>
      </c>
      <c r="C17" s="12" t="s">
        <v>43</v>
      </c>
      <c r="D17" s="12" t="s">
        <v>48</v>
      </c>
      <c r="E17" s="13">
        <v>1</v>
      </c>
      <c r="F17" s="13">
        <v>100</v>
      </c>
      <c r="G17" s="13">
        <f t="shared" ref="G17:G23" si="1">E17*F17</f>
        <v>100</v>
      </c>
      <c r="H17" s="13" t="s">
        <v>11</v>
      </c>
    </row>
    <row r="18" spans="1:8" ht="15" customHeight="1" x14ac:dyDescent="0.25">
      <c r="A18" s="4"/>
      <c r="B18" s="69" t="s">
        <v>61</v>
      </c>
      <c r="C18" s="85" t="s">
        <v>64</v>
      </c>
      <c r="D18" s="66" t="s">
        <v>65</v>
      </c>
      <c r="E18" s="65">
        <v>1</v>
      </c>
      <c r="F18" s="65">
        <v>200</v>
      </c>
      <c r="G18" s="65">
        <v>200</v>
      </c>
      <c r="H18" s="65" t="s">
        <v>11</v>
      </c>
    </row>
    <row r="19" spans="1:8" ht="15" customHeight="1" x14ac:dyDescent="0.25">
      <c r="A19" s="4"/>
      <c r="B19" s="69" t="s">
        <v>62</v>
      </c>
      <c r="C19" s="70" t="s">
        <v>63</v>
      </c>
      <c r="D19" s="66" t="s">
        <v>65</v>
      </c>
      <c r="E19" s="65">
        <v>1</v>
      </c>
      <c r="F19" s="65">
        <v>200</v>
      </c>
      <c r="G19" s="65">
        <f t="shared" ref="G19" si="2">E19*F19</f>
        <v>200</v>
      </c>
      <c r="H19" s="65" t="s">
        <v>11</v>
      </c>
    </row>
    <row r="20" spans="1:8" ht="15" customHeight="1" x14ac:dyDescent="0.25">
      <c r="A20" s="4"/>
      <c r="B20" s="69" t="s">
        <v>66</v>
      </c>
      <c r="C20" t="s">
        <v>69</v>
      </c>
      <c r="D20" s="66" t="s">
        <v>67</v>
      </c>
      <c r="E20" s="65">
        <v>1</v>
      </c>
      <c r="F20" s="65">
        <v>625</v>
      </c>
      <c r="G20" s="65">
        <f>5/8</f>
        <v>0.625</v>
      </c>
      <c r="H20" s="65" t="s">
        <v>11</v>
      </c>
    </row>
    <row r="21" spans="1:8" ht="15" customHeight="1" x14ac:dyDescent="0.25">
      <c r="A21" s="4"/>
      <c r="B21" s="65" t="s">
        <v>41</v>
      </c>
      <c r="C21" s="65" t="s">
        <v>45</v>
      </c>
      <c r="D21" s="12" t="s">
        <v>47</v>
      </c>
      <c r="E21" s="65">
        <v>1</v>
      </c>
      <c r="F21" s="65">
        <v>5</v>
      </c>
      <c r="G21" s="65">
        <v>5</v>
      </c>
      <c r="H21" s="65" t="s">
        <v>11</v>
      </c>
    </row>
    <row r="22" spans="1:8" ht="15" customHeight="1" x14ac:dyDescent="0.25">
      <c r="A22" s="6"/>
      <c r="B22" s="12" t="s">
        <v>51</v>
      </c>
      <c r="C22" s="12" t="s">
        <v>44</v>
      </c>
      <c r="D22" s="13" t="s">
        <v>52</v>
      </c>
      <c r="E22" s="13">
        <v>1</v>
      </c>
      <c r="F22" s="13">
        <v>2</v>
      </c>
      <c r="G22" s="13">
        <f t="shared" si="1"/>
        <v>2</v>
      </c>
      <c r="H22" s="13" t="s">
        <v>11</v>
      </c>
    </row>
    <row r="23" spans="1:8" x14ac:dyDescent="0.25">
      <c r="A23" s="7"/>
      <c r="B23" s="12" t="s">
        <v>53</v>
      </c>
      <c r="C23" s="12" t="s">
        <v>46</v>
      </c>
      <c r="D23" s="13" t="s">
        <v>54</v>
      </c>
      <c r="E23" s="13">
        <v>1</v>
      </c>
      <c r="F23" s="13">
        <v>5</v>
      </c>
      <c r="G23" s="13">
        <f t="shared" si="1"/>
        <v>5</v>
      </c>
      <c r="H23" s="13" t="s">
        <v>11</v>
      </c>
    </row>
    <row r="24" spans="1:8" ht="15" customHeight="1" thickBot="1" x14ac:dyDescent="0.3">
      <c r="A24" s="30" t="s">
        <v>32</v>
      </c>
      <c r="B24" s="16"/>
      <c r="C24" s="16"/>
      <c r="D24" s="74" t="s">
        <v>12</v>
      </c>
      <c r="E24" s="74"/>
      <c r="F24" s="74"/>
      <c r="G24" s="14">
        <f>SUM(G17:G23)</f>
        <v>512.625</v>
      </c>
      <c r="H24" s="14" t="s">
        <v>11</v>
      </c>
    </row>
    <row r="25" spans="1:8" ht="15" customHeight="1" thickTop="1" thickBot="1" x14ac:dyDescent="0.3">
      <c r="A25" s="26"/>
      <c r="D25" s="75" t="s">
        <v>13</v>
      </c>
      <c r="E25" s="75"/>
      <c r="F25" s="75"/>
      <c r="G25" s="23">
        <v>0.25</v>
      </c>
      <c r="H25" s="23"/>
    </row>
    <row r="26" spans="1:8" ht="15" customHeight="1" thickTop="1" x14ac:dyDescent="0.25">
      <c r="A26" s="59"/>
      <c r="D26" s="74" t="s">
        <v>15</v>
      </c>
      <c r="E26" s="74"/>
      <c r="F26" s="74"/>
      <c r="G26" s="14">
        <f>G24*(1+G25)</f>
        <v>640.78125</v>
      </c>
      <c r="H26" s="14" t="s">
        <v>11</v>
      </c>
    </row>
    <row r="27" spans="1:8" ht="15" customHeight="1" x14ac:dyDescent="0.25">
      <c r="A27" s="59"/>
      <c r="D27" s="97"/>
      <c r="E27" s="97"/>
      <c r="F27" s="97"/>
      <c r="G27" s="25"/>
      <c r="H27" s="25"/>
    </row>
    <row r="28" spans="1:8" ht="15" customHeight="1" x14ac:dyDescent="0.25">
      <c r="A28" s="59"/>
      <c r="D28" s="97"/>
      <c r="E28" s="97"/>
      <c r="F28" s="97"/>
      <c r="G28" s="25"/>
      <c r="H28" s="25"/>
    </row>
    <row r="29" spans="1:8" ht="15" customHeight="1" x14ac:dyDescent="0.25">
      <c r="A29" s="59"/>
      <c r="D29" s="97"/>
      <c r="E29" s="97"/>
      <c r="F29" s="97"/>
      <c r="G29" s="25"/>
      <c r="H29" s="25"/>
    </row>
    <row r="30" spans="1:8" ht="15" customHeight="1" thickBot="1" x14ac:dyDescent="0.3">
      <c r="A30" s="59"/>
      <c r="D30" s="97"/>
      <c r="E30" s="97"/>
      <c r="F30" s="97"/>
      <c r="G30" s="25"/>
      <c r="H30" s="25"/>
    </row>
    <row r="31" spans="1:8" ht="15" customHeight="1" thickBot="1" x14ac:dyDescent="0.3">
      <c r="A31" s="33" t="s">
        <v>19</v>
      </c>
      <c r="B31" s="24"/>
      <c r="C31" s="24"/>
      <c r="D31" s="25"/>
      <c r="E31" s="25"/>
      <c r="F31" s="25"/>
      <c r="G31" s="8"/>
      <c r="H31" s="8"/>
    </row>
    <row r="32" spans="1:8" ht="15" customHeight="1" thickBot="1" x14ac:dyDescent="0.3">
      <c r="A32" s="37" t="s">
        <v>21</v>
      </c>
      <c r="B32" s="29" t="s">
        <v>55</v>
      </c>
      <c r="C32" s="29" t="s">
        <v>17</v>
      </c>
      <c r="D32" s="22" t="s">
        <v>47</v>
      </c>
      <c r="E32" s="22">
        <v>1</v>
      </c>
      <c r="F32" s="22">
        <v>1500</v>
      </c>
      <c r="G32" s="22">
        <f>E32*F32</f>
        <v>1500</v>
      </c>
      <c r="H32" s="22" t="s">
        <v>11</v>
      </c>
    </row>
    <row r="33" spans="1:9" ht="15" customHeight="1" thickTop="1" x14ac:dyDescent="0.25">
      <c r="A33" s="39"/>
      <c r="B33" s="76" t="s">
        <v>18</v>
      </c>
      <c r="C33" s="76"/>
      <c r="D33" s="76"/>
      <c r="E33" s="76"/>
      <c r="F33" s="76"/>
      <c r="G33" s="14">
        <f>G32-G26</f>
        <v>859.21875</v>
      </c>
      <c r="H33" s="14" t="s">
        <v>11</v>
      </c>
    </row>
    <row r="34" spans="1:9" ht="15" customHeight="1" thickBot="1" x14ac:dyDescent="0.3">
      <c r="A34" s="82" t="s">
        <v>22</v>
      </c>
      <c r="B34" s="59"/>
      <c r="C34" s="59"/>
      <c r="D34" s="59"/>
      <c r="E34" s="59"/>
      <c r="F34" s="60"/>
      <c r="G34" s="44"/>
      <c r="H34" s="43"/>
    </row>
    <row r="35" spans="1:9" ht="15" customHeight="1" thickBot="1" x14ac:dyDescent="0.3">
      <c r="A35" s="83"/>
      <c r="B35" s="34" t="s">
        <v>5</v>
      </c>
      <c r="C35" s="34" t="s">
        <v>6</v>
      </c>
      <c r="D35" s="35" t="s">
        <v>7</v>
      </c>
      <c r="E35" s="35" t="s">
        <v>20</v>
      </c>
      <c r="F35" s="35" t="s">
        <v>8</v>
      </c>
      <c r="G35" s="35" t="s">
        <v>9</v>
      </c>
      <c r="H35" s="36" t="s">
        <v>10</v>
      </c>
    </row>
    <row r="36" spans="1:9" ht="15" customHeight="1" thickBot="1" x14ac:dyDescent="0.3">
      <c r="A36" s="84"/>
      <c r="B36" s="32" t="s">
        <v>56</v>
      </c>
      <c r="C36" s="14" t="s">
        <v>58</v>
      </c>
      <c r="D36" s="14" t="s">
        <v>57</v>
      </c>
      <c r="E36" s="14" t="s">
        <v>49</v>
      </c>
      <c r="F36" s="14">
        <v>2000</v>
      </c>
      <c r="G36" s="14">
        <v>10000</v>
      </c>
      <c r="H36" s="38" t="s">
        <v>11</v>
      </c>
    </row>
    <row r="37" spans="1:9" ht="15" customHeight="1" thickTop="1" thickBot="1" x14ac:dyDescent="0.3">
      <c r="A37" s="90" t="s">
        <v>23</v>
      </c>
      <c r="B37" s="28"/>
      <c r="C37" s="28"/>
      <c r="D37" s="13"/>
      <c r="E37" s="13"/>
      <c r="F37" s="13"/>
      <c r="G37" s="13"/>
      <c r="H37" s="20"/>
    </row>
    <row r="38" spans="1:9" ht="15" customHeight="1" thickBot="1" x14ac:dyDescent="0.3">
      <c r="A38" s="6"/>
      <c r="B38" s="28" t="s">
        <v>46</v>
      </c>
      <c r="C38" s="28" t="s">
        <v>46</v>
      </c>
      <c r="D38" s="28" t="s">
        <v>46</v>
      </c>
      <c r="E38" s="28" t="s">
        <v>46</v>
      </c>
      <c r="F38" s="28" t="s">
        <v>46</v>
      </c>
      <c r="G38" s="28" t="s">
        <v>46</v>
      </c>
      <c r="H38" s="20" t="s">
        <v>11</v>
      </c>
    </row>
    <row r="39" spans="1:9" ht="15" customHeight="1" x14ac:dyDescent="0.25">
      <c r="A39" s="93" t="s">
        <v>36</v>
      </c>
      <c r="B39" s="28" t="s">
        <v>16</v>
      </c>
      <c r="C39" s="28" t="s">
        <v>17</v>
      </c>
      <c r="D39" s="13" t="s">
        <v>47</v>
      </c>
      <c r="E39" s="13">
        <v>1</v>
      </c>
      <c r="F39" s="13">
        <v>1500</v>
      </c>
      <c r="G39" s="13">
        <f t="shared" ref="G39" si="3">E39*F39</f>
        <v>1500</v>
      </c>
      <c r="H39" s="20" t="s">
        <v>11</v>
      </c>
      <c r="I39" s="16"/>
    </row>
    <row r="40" spans="1:9" ht="16.5" thickBot="1" x14ac:dyDescent="0.3">
      <c r="A40" s="56"/>
      <c r="B40" s="61" t="s">
        <v>46</v>
      </c>
      <c r="C40" s="61" t="s">
        <v>46</v>
      </c>
      <c r="D40" s="61" t="s">
        <v>46</v>
      </c>
      <c r="E40" s="61" t="s">
        <v>46</v>
      </c>
      <c r="F40" s="61" t="s">
        <v>46</v>
      </c>
      <c r="G40" s="61" t="s">
        <v>46</v>
      </c>
      <c r="H40" s="62" t="s">
        <v>11</v>
      </c>
    </row>
    <row r="41" spans="1:9" ht="15" customHeight="1" thickTop="1" thickBot="1" x14ac:dyDescent="0.3">
      <c r="A41" s="50"/>
      <c r="B41" s="91"/>
      <c r="C41" s="91"/>
      <c r="D41" s="91"/>
      <c r="E41" s="91"/>
      <c r="F41" s="92"/>
      <c r="G41" s="41">
        <f>G36-SUM(G38:G40)</f>
        <v>8500</v>
      </c>
      <c r="H41" s="42" t="s">
        <v>11</v>
      </c>
    </row>
    <row r="42" spans="1:9" ht="15" customHeight="1" thickTop="1" thickBot="1" x14ac:dyDescent="0.3">
      <c r="A42" s="51"/>
      <c r="B42" s="16"/>
      <c r="C42" s="16"/>
      <c r="D42" s="10"/>
      <c r="E42" s="25"/>
      <c r="F42" s="25"/>
      <c r="G42" s="25"/>
      <c r="H42" s="25"/>
    </row>
    <row r="43" spans="1:9" ht="15" customHeight="1" thickBot="1" x14ac:dyDescent="0.3">
      <c r="A43" s="16"/>
      <c r="B43" s="94"/>
      <c r="C43" s="94"/>
      <c r="D43" s="94"/>
      <c r="E43" s="94"/>
      <c r="F43" s="95"/>
      <c r="G43" s="48"/>
      <c r="H43" s="49"/>
    </row>
    <row r="44" spans="1:9" ht="15" customHeight="1" x14ac:dyDescent="0.25">
      <c r="A44" s="73" t="s">
        <v>35</v>
      </c>
      <c r="B44" s="57" t="s">
        <v>5</v>
      </c>
      <c r="C44" s="57" t="s">
        <v>6</v>
      </c>
      <c r="D44" s="19" t="s">
        <v>7</v>
      </c>
      <c r="E44" s="18"/>
      <c r="F44" s="19" t="s">
        <v>24</v>
      </c>
      <c r="G44" s="19" t="s">
        <v>25</v>
      </c>
      <c r="H44" s="58"/>
    </row>
    <row r="45" spans="1:9" ht="15" customHeight="1" thickBot="1" x14ac:dyDescent="0.3">
      <c r="A45" s="71" t="s">
        <v>28</v>
      </c>
      <c r="B45" s="21" t="s">
        <v>46</v>
      </c>
      <c r="C45" s="21" t="s">
        <v>46</v>
      </c>
      <c r="D45" s="21" t="s">
        <v>46</v>
      </c>
      <c r="E45" s="21" t="s">
        <v>46</v>
      </c>
      <c r="F45" s="21" t="s">
        <v>46</v>
      </c>
      <c r="G45" s="21" t="s">
        <v>46</v>
      </c>
      <c r="H45" s="40"/>
    </row>
    <row r="46" spans="1:9" ht="32.25" customHeight="1" thickTop="1" thickBot="1" x14ac:dyDescent="0.3">
      <c r="A46" s="72" t="s">
        <v>29</v>
      </c>
      <c r="B46" s="47"/>
      <c r="C46" s="47"/>
      <c r="D46" s="52"/>
      <c r="E46" s="52"/>
      <c r="F46" s="53" t="s">
        <v>26</v>
      </c>
      <c r="G46" s="54" t="e">
        <f>F45/G45</f>
        <v>#VALUE!</v>
      </c>
      <c r="H46" s="55" t="s">
        <v>27</v>
      </c>
    </row>
    <row r="47" spans="1:9" ht="15" customHeight="1" thickBot="1" x14ac:dyDescent="0.3">
      <c r="D47" s="5"/>
      <c r="E47" s="5"/>
      <c r="F47" s="17"/>
      <c r="G47" s="25"/>
      <c r="H47" s="25"/>
      <c r="I47" s="16"/>
    </row>
    <row r="48" spans="1:9" s="16" customFormat="1" ht="15" customHeight="1" x14ac:dyDescent="0.25">
      <c r="A48" s="1"/>
      <c r="B48" s="96"/>
      <c r="C48" s="96"/>
      <c r="D48" s="96"/>
      <c r="E48" s="96"/>
      <c r="F48" s="96"/>
      <c r="G48" s="45"/>
      <c r="H48" s="46"/>
      <c r="I48" s="1"/>
    </row>
    <row r="49" spans="2:10" x14ac:dyDescent="0.25">
      <c r="B49" s="86"/>
      <c r="C49" s="86"/>
      <c r="D49" s="86"/>
      <c r="E49" s="86"/>
      <c r="F49" s="86"/>
      <c r="G49" s="86"/>
      <c r="H49" s="87"/>
    </row>
    <row r="50" spans="2:10" ht="15" customHeight="1" thickBot="1" x14ac:dyDescent="0.3">
      <c r="B50" s="88"/>
      <c r="C50" s="88"/>
      <c r="D50" s="88"/>
      <c r="E50" s="88"/>
      <c r="F50" s="88"/>
      <c r="G50" s="88"/>
      <c r="H50" s="89"/>
    </row>
    <row r="51" spans="2:10" ht="15" customHeight="1" x14ac:dyDescent="0.25"/>
    <row r="52" spans="2:10" ht="15" customHeight="1" x14ac:dyDescent="0.25"/>
    <row r="53" spans="2:10" ht="15" customHeight="1" x14ac:dyDescent="0.25"/>
    <row r="54" spans="2:10" x14ac:dyDescent="0.25"/>
    <row r="55" spans="2:10" ht="15" customHeight="1" x14ac:dyDescent="0.25"/>
    <row r="56" spans="2:10" ht="15" customHeight="1" x14ac:dyDescent="0.25">
      <c r="I56" s="16"/>
    </row>
    <row r="57" spans="2:10" x14ac:dyDescent="0.25"/>
    <row r="58" spans="2:10" ht="15" customHeight="1" x14ac:dyDescent="0.25">
      <c r="J58" s="16"/>
    </row>
    <row r="59" spans="2:10" ht="15" customHeight="1" x14ac:dyDescent="0.25"/>
    <row r="60" spans="2:10" ht="15" customHeight="1" x14ac:dyDescent="0.25"/>
    <row r="61" spans="2:10" ht="15" customHeight="1" x14ac:dyDescent="0.25"/>
    <row r="62" spans="2:10" ht="15" customHeight="1" x14ac:dyDescent="0.25"/>
    <row r="63" spans="2:10" ht="15" customHeight="1" x14ac:dyDescent="0.25"/>
    <row r="64" spans="2:10" ht="15" customHeight="1" x14ac:dyDescent="0.25"/>
    <row r="65" ht="15" customHeight="1" x14ac:dyDescent="0.25"/>
    <row r="66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</sheetData>
  <mergeCells count="7">
    <mergeCell ref="A34:A36"/>
    <mergeCell ref="D24:F24"/>
    <mergeCell ref="D25:F25"/>
    <mergeCell ref="B33:F33"/>
    <mergeCell ref="D26:F26"/>
    <mergeCell ref="A1:H1"/>
    <mergeCell ref="A7:H7"/>
  </mergeCells>
  <conditionalFormatting sqref="G15 G33">
    <cfRule type="cellIs" dxfId="0" priority="1" operator="lessThan">
      <formula>0</formula>
    </cfRule>
  </conditionalFormatting>
  <printOptions horizontalCentered="1"/>
  <pageMargins left="0.25" right="0" top="0.5" bottom="0.5" header="0.3" footer="0.3"/>
  <pageSetup scale="92" fitToHeight="0" orientation="landscape" r:id="rId1"/>
  <rowBreaks count="2" manualBreakCount="2">
    <brk id="14" max="7" man="1"/>
    <brk id="25" max="7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 Budget</vt:lpstr>
      <vt:lpstr>'Power Budget'!Print_Area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Rylee Wirt</dc:creator>
  <cp:lastModifiedBy>Rylee Wirt</cp:lastModifiedBy>
  <cp:lastPrinted>2025-12-08T07:33:07Z</cp:lastPrinted>
  <dcterms:created xsi:type="dcterms:W3CDTF">2025-10-27T06:29:19Z</dcterms:created>
  <dcterms:modified xsi:type="dcterms:W3CDTF">2025-12-08T07:34:12Z</dcterms:modified>
</cp:coreProperties>
</file>