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68fd161cc875d/Documents/EGR304 Website Stuff/"/>
    </mc:Choice>
  </mc:AlternateContent>
  <xr:revisionPtr revIDLastSave="0" documentId="8_{C6E295F3-1810-4D0F-AA86-96C380339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 Budget" sheetId="1" r:id="rId1"/>
  </sheets>
  <definedNames>
    <definedName name="_xlnm.Print_Area" localSheetId="0">'Power Budget'!$A$1:$H$41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37" i="1"/>
  <c r="G30" i="1"/>
  <c r="G23" i="1"/>
  <c r="G15" i="1"/>
  <c r="G10" i="1"/>
  <c r="G32" i="1" l="1"/>
  <c r="G19" i="1"/>
  <c r="G21" i="1" s="1"/>
  <c r="G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<sst xmlns="http://schemas.openxmlformats.org/spreadsheetml/2006/main" count="121" uniqueCount="65">
  <si>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</si>
  <si>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</si>
  <si>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</si>
  <si>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</si>
  <si>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</si>
  <si>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</si>
  <si>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</si>
  <si>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</si>
  <si>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</si>
  <si>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</si>
  <si>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</si>
  <si>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</si>
  <si>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</si>
  <si>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</si>
  <si>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</si>
  <si>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</si>
  <si>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</si>
  <si>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</si>
  <si>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</si>
  <si>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</si>
  <si>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</si>
  <si>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</si>
  <si>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</si>
  <si>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</si>
  <si>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</si>
  <si>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</si>
  <si>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</si>
  <si>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</si>
  <si>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</si>
  <si>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</si>
  <si>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</si>
  <si>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</si>
  <si>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</si>
  <si>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</si>
  <si>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</si>
  <si>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</si>
  <si>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</si>
  <si>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Garden Buddy</t>
  </si>
  <si>
    <t>Team Member Name:</t>
  </si>
  <si>
    <t>Rylee Wirt</t>
  </si>
  <si>
    <t>PIC18F57Q43 Curiosity Nano</t>
  </si>
  <si>
    <t>MCP6004 Quad Op Amp</t>
  </si>
  <si>
    <t>LM7805 Linear Regulator</t>
  </si>
  <si>
    <t>Regulator quiescent</t>
  </si>
  <si>
    <t>DM164150</t>
  </si>
  <si>
    <t>MCP6004-I/P</t>
  </si>
  <si>
    <t>WP710A10SRD/J4</t>
  </si>
  <si>
    <t>LM7805CT</t>
  </si>
  <si>
    <t>N/A</t>
  </si>
  <si>
    <t xml:space="preserve"> +7 - 25V</t>
  </si>
  <si>
    <t xml:space="preserve"> +1.8 - 5.5V</t>
  </si>
  <si>
    <t xml:space="preserve"> +1.8 - 5.1V</t>
  </si>
  <si>
    <t xml:space="preserve"> +5.0V</t>
  </si>
  <si>
    <t>PIC18F57Q43 Curiosity Nano Board</t>
  </si>
  <si>
    <t>MCP6004 Op Amp</t>
  </si>
  <si>
    <t>Red LED Indicator</t>
  </si>
  <si>
    <t xml:space="preserve"> +1.8 - 2.2V</t>
  </si>
  <si>
    <t>Regulator/Wiring Allowance</t>
  </si>
  <si>
    <t>5.0V rail</t>
  </si>
  <si>
    <t>LM7805 Linear Voltage Regulator</t>
  </si>
  <si>
    <t>5V Wall Adapter (Regulated, Certified)</t>
  </si>
  <si>
    <t>100 - 240VAC</t>
  </si>
  <si>
    <t>Generic UL/CE</t>
  </si>
  <si>
    <t>Power Budget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</si>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</sst>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2" fillId="0" borderId="4" xfId="0" applyFont="1" applyBorder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9" fontId="2" fillId="0" borderId="16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0" borderId="25" xfId="0" applyFont="1" applyBorder="1"/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2" fillId="0" borderId="22" xfId="0" applyFont="1" applyBorder="1"/>
    <xf numFmtId="0" fontId="2" fillId="0" borderId="24" xfId="0" applyFont="1" applyBorder="1"/>
    <xf numFmtId="0" fontId="2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3" fillId="3" borderId="1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6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6" xfId="0" quotePrefix="1" applyFont="1" applyBorder="1"/>
    <xf numFmtId="49" fontId="3" fillId="0" borderId="4" xfId="0" quotePrefix="1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8" xfId="0" applyBorder="1"/>
    <xf numFmtId="0" fontId="0" fillId="0" borderId="4" xfId="0" applyBorder="1" applyAlignment="1">
      <alignment vertical="center" wrapText="1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2" fillId="0" borderId="33" xfId="0" applyFont="1" applyBorder="1" applyAlignment="1">
      <alignment wrapText="1"/>
    </xf>
    <xf numFmtId="0" fontId="2" fillId="0" borderId="4" xfId="0" applyFont="1" applyBorder="1"/>
    <xf numFmtId="0" fontId="2" fillId="0" borderId="34" xfId="0" applyFont="1" applyBorder="1"/>
    <xf numFmtId="0" fontId="2" fillId="4" borderId="24" xfId="0" applyFont="1" applyFill="1" applyBorder="1" applyAlignment="1">
      <alignment horizontal="left" wrapText="1"/>
    </xf>
    <xf numFmtId="0" fontId="2" fillId="0" borderId="25" xfId="0" applyFont="1" applyBorder="1"/>
    <xf numFmtId="0" fontId="2" fillId="0" borderId="35" xfId="0" applyFont="1" applyBorder="1"/>
    <xf numFmtId="0" fontId="3" fillId="0" borderId="14" xfId="0" applyFont="1" applyBorder="1" applyAlignment="1">
      <alignment horizontal="left" vertical="center" wrapText="1"/>
    </xf>
    <xf numFmtId="0" fontId="4" fillId="0" borderId="14" xfId="0" applyFont="1" applyBorder="1"/>
    <xf numFmtId="0" fontId="4" fillId="0" borderId="22" xfId="0" applyFont="1" applyBorder="1"/>
    <xf numFmtId="0" fontId="5" fillId="2" borderId="11" xfId="0" applyFont="1" applyFill="1" applyBorder="1" applyAlignment="1">
      <alignment wrapText="1"/>
    </xf>
    <xf numFmtId="0" fontId="4" fillId="0" borderId="12" xfId="0" applyFont="1" applyBorder="1"/>
    <xf numFmtId="0" fontId="5" fillId="2" borderId="31" xfId="0" applyFont="1" applyFill="1" applyBorder="1"/>
    <xf numFmtId="0" fontId="2" fillId="0" borderId="30" xfId="0" applyFont="1" applyBorder="1"/>
    <xf numFmtId="49" fontId="5" fillId="0" borderId="24" xfId="0" applyNumberFormat="1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67"/>
  <sheetViews>
    <sheetView tabSelected="1" zoomScale="70" zoomScaleNormal="70" workbookViewId="0">
      <selection activeCell="K16" sqref="K16"/>
    </sheetView>
  </sheetViews>
  <sheetFormatPr defaultColWidth="13.5" defaultRowHeight="15.75" customHeight="1" x14ac:dyDescent="0.25"/>
  <cols>
    <col min="1" max="1" width="22.5" style="1" customWidth="1"/>
    <col min="2" max="2" width="45.75" style="1" bestFit="1" customWidth="1"/>
    <col min="3" max="3" width="15.75" style="1" customWidth="1"/>
    <col min="4" max="4" width="11.875" style="1" bestFit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5">
      <c r="A1" s="71" t="s">
        <v>63</v>
      </c>
      <c r="B1" s="72"/>
      <c r="C1" s="72"/>
      <c r="D1" s="72"/>
      <c r="E1" s="72"/>
      <c r="F1" s="72"/>
      <c r="G1" s="72"/>
      <c r="H1" s="72"/>
    </row>
    <row r="2" spans="1:8" ht="15" customHeight="1" x14ac:dyDescent="0.25">
      <c r="A2" s="9" t="s">
        <v>0</v>
      </c>
      <c r="B2" s="68">
        <v>201</v>
      </c>
      <c r="D2" s="2"/>
      <c r="E2" s="2"/>
    </row>
    <row r="3" spans="1:8" ht="15" customHeight="1" x14ac:dyDescent="0.25">
      <c r="A3" s="9" t="s">
        <v>1</v>
      </c>
      <c r="B3" s="11" t="s">
        <v>37</v>
      </c>
      <c r="C3" s="3"/>
      <c r="D3" s="2"/>
      <c r="E3" s="2"/>
      <c r="F3" s="2"/>
      <c r="G3" s="2"/>
      <c r="H3" s="2"/>
    </row>
    <row r="4" spans="1:8" ht="15" customHeight="1" x14ac:dyDescent="0.25">
      <c r="A4" s="9" t="s">
        <v>38</v>
      </c>
      <c r="B4" s="11" t="s">
        <v>39</v>
      </c>
      <c r="C4" s="3"/>
      <c r="D4" s="2"/>
      <c r="E4" s="2"/>
      <c r="F4" s="2"/>
      <c r="G4" s="2"/>
      <c r="H4" s="2"/>
    </row>
    <row r="5" spans="1:8" ht="15" customHeight="1" x14ac:dyDescent="0.25">
      <c r="A5" s="9" t="s">
        <v>2</v>
      </c>
      <c r="B5" s="67" t="s">
        <v>64</v>
      </c>
      <c r="C5" s="3"/>
      <c r="D5" s="2"/>
      <c r="E5" s="2"/>
      <c r="F5" s="2"/>
      <c r="G5" s="2"/>
      <c r="H5" s="2"/>
    </row>
    <row r="6" spans="1:8" ht="15" customHeight="1" x14ac:dyDescent="0.2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25">
      <c r="A7" s="73" t="s">
        <v>3</v>
      </c>
      <c r="B7" s="74"/>
      <c r="C7" s="74"/>
      <c r="D7" s="74"/>
      <c r="E7" s="74"/>
      <c r="F7" s="74"/>
      <c r="G7" s="74"/>
      <c r="H7" s="75"/>
    </row>
    <row r="8" spans="1:8" ht="48" thickBot="1" x14ac:dyDescent="0.3">
      <c r="A8" s="15" t="s">
        <v>4</v>
      </c>
      <c r="B8" s="63" t="s">
        <v>5</v>
      </c>
      <c r="C8" s="63" t="s">
        <v>6</v>
      </c>
      <c r="D8" s="64" t="s">
        <v>30</v>
      </c>
      <c r="E8" s="63" t="s">
        <v>31</v>
      </c>
      <c r="F8" s="64" t="s">
        <v>34</v>
      </c>
      <c r="G8" s="64" t="s">
        <v>33</v>
      </c>
      <c r="H8" s="63" t="s">
        <v>10</v>
      </c>
    </row>
    <row r="9" spans="1:8" ht="15" customHeight="1" x14ac:dyDescent="0.25">
      <c r="A9" s="4"/>
      <c r="B9" s="65" t="s">
        <v>40</v>
      </c>
      <c r="C9" s="65" t="s">
        <v>44</v>
      </c>
      <c r="D9" s="66" t="s">
        <v>51</v>
      </c>
      <c r="E9" s="65">
        <v>1</v>
      </c>
      <c r="F9" s="65">
        <v>100</v>
      </c>
      <c r="G9" s="65">
        <v>100</v>
      </c>
      <c r="H9" s="65" t="s">
        <v>11</v>
      </c>
    </row>
    <row r="10" spans="1:8" ht="15" customHeight="1" x14ac:dyDescent="0.25">
      <c r="A10" s="4"/>
      <c r="B10" s="69" t="s">
        <v>41</v>
      </c>
      <c r="C10" s="70" t="s">
        <v>45</v>
      </c>
      <c r="D10" s="66" t="s">
        <v>50</v>
      </c>
      <c r="E10" s="65">
        <v>1</v>
      </c>
      <c r="F10" s="65">
        <v>1</v>
      </c>
      <c r="G10" s="65">
        <f t="shared" ref="G10" si="0">E10*F10</f>
        <v>1</v>
      </c>
      <c r="H10" s="65" t="s">
        <v>11</v>
      </c>
    </row>
    <row r="11" spans="1:8" ht="15" customHeight="1" x14ac:dyDescent="0.25">
      <c r="A11" s="4"/>
      <c r="B11" s="65" t="s">
        <v>42</v>
      </c>
      <c r="C11" s="65" t="s">
        <v>47</v>
      </c>
      <c r="D11" s="12" t="s">
        <v>49</v>
      </c>
      <c r="E11" s="65">
        <v>1</v>
      </c>
      <c r="F11" s="65">
        <v>5</v>
      </c>
      <c r="G11" s="65">
        <v>5</v>
      </c>
      <c r="H11" s="65" t="s">
        <v>11</v>
      </c>
    </row>
    <row r="12" spans="1:8" ht="15" customHeight="1" x14ac:dyDescent="0.25">
      <c r="A12" s="4"/>
      <c r="B12" s="65" t="s">
        <v>43</v>
      </c>
      <c r="C12" s="65" t="s">
        <v>48</v>
      </c>
      <c r="D12" s="12" t="s">
        <v>52</v>
      </c>
      <c r="E12" s="65">
        <v>1</v>
      </c>
      <c r="F12" s="65">
        <v>5</v>
      </c>
      <c r="G12" s="65">
        <v>5</v>
      </c>
      <c r="H12" s="65" t="s">
        <v>11</v>
      </c>
    </row>
    <row r="13" spans="1:8" ht="15" customHeight="1" x14ac:dyDescent="0.25">
      <c r="A13" s="26"/>
      <c r="B13" s="27"/>
      <c r="C13" s="10"/>
      <c r="D13" s="10"/>
      <c r="E13" s="10"/>
      <c r="F13" s="10"/>
      <c r="G13" s="25"/>
      <c r="H13" s="25"/>
    </row>
    <row r="14" spans="1:8" ht="48" thickBot="1" x14ac:dyDescent="0.3">
      <c r="A14" s="31" t="s">
        <v>14</v>
      </c>
      <c r="B14" s="63" t="s">
        <v>5</v>
      </c>
      <c r="C14" s="63" t="s">
        <v>6</v>
      </c>
      <c r="D14" s="64" t="s">
        <v>7</v>
      </c>
      <c r="E14" s="63" t="s">
        <v>31</v>
      </c>
      <c r="F14" s="64" t="s">
        <v>8</v>
      </c>
      <c r="G14" s="64" t="s">
        <v>9</v>
      </c>
      <c r="H14" s="63" t="s">
        <v>10</v>
      </c>
    </row>
    <row r="15" spans="1:8" ht="15" customHeight="1" x14ac:dyDescent="0.25">
      <c r="A15" s="4"/>
      <c r="B15" s="12" t="s">
        <v>53</v>
      </c>
      <c r="C15" s="12" t="s">
        <v>44</v>
      </c>
      <c r="D15" s="12" t="s">
        <v>51</v>
      </c>
      <c r="E15" s="13">
        <v>1</v>
      </c>
      <c r="F15" s="13">
        <v>100</v>
      </c>
      <c r="G15" s="13">
        <f t="shared" ref="G15:G18" si="1">E15*F15</f>
        <v>100</v>
      </c>
      <c r="H15" s="13" t="s">
        <v>11</v>
      </c>
    </row>
    <row r="16" spans="1:8" ht="15" customHeight="1" x14ac:dyDescent="0.25">
      <c r="A16" s="4"/>
      <c r="B16" s="12" t="s">
        <v>54</v>
      </c>
      <c r="C16" s="12" t="s">
        <v>45</v>
      </c>
      <c r="D16" s="13" t="s">
        <v>50</v>
      </c>
      <c r="E16" s="13">
        <v>1</v>
      </c>
      <c r="F16" s="13">
        <v>1</v>
      </c>
      <c r="G16" s="13">
        <f t="shared" si="1"/>
        <v>1</v>
      </c>
      <c r="H16" s="13" t="s">
        <v>11</v>
      </c>
    </row>
    <row r="17" spans="1:8" ht="15" customHeight="1" x14ac:dyDescent="0.25">
      <c r="A17" s="4"/>
      <c r="B17" s="12" t="s">
        <v>55</v>
      </c>
      <c r="C17" s="12" t="s">
        <v>46</v>
      </c>
      <c r="D17" s="13" t="s">
        <v>56</v>
      </c>
      <c r="E17" s="13">
        <v>1</v>
      </c>
      <c r="F17" s="13">
        <v>2</v>
      </c>
      <c r="G17" s="13">
        <f t="shared" si="1"/>
        <v>2</v>
      </c>
      <c r="H17" s="13" t="s">
        <v>11</v>
      </c>
    </row>
    <row r="18" spans="1:8" ht="15" customHeight="1" x14ac:dyDescent="0.25">
      <c r="A18" s="4"/>
      <c r="B18" s="12" t="s">
        <v>57</v>
      </c>
      <c r="C18" s="12" t="s">
        <v>48</v>
      </c>
      <c r="D18" s="13" t="s">
        <v>58</v>
      </c>
      <c r="E18" s="13">
        <v>1</v>
      </c>
      <c r="F18" s="13">
        <v>5</v>
      </c>
      <c r="G18" s="13">
        <f t="shared" si="1"/>
        <v>5</v>
      </c>
      <c r="H18" s="13" t="s">
        <v>11</v>
      </c>
    </row>
    <row r="19" spans="1:8" ht="15" customHeight="1" x14ac:dyDescent="0.25">
      <c r="A19" s="4"/>
      <c r="B19" s="16"/>
      <c r="C19" s="16"/>
      <c r="D19" s="92" t="s">
        <v>12</v>
      </c>
      <c r="E19" s="92"/>
      <c r="F19" s="92"/>
      <c r="G19" s="14">
        <f>SUM(G15:G18)</f>
        <v>108</v>
      </c>
      <c r="H19" s="14" t="s">
        <v>11</v>
      </c>
    </row>
    <row r="20" spans="1:8" ht="15" customHeight="1" thickBot="1" x14ac:dyDescent="0.3">
      <c r="A20" s="4"/>
      <c r="D20" s="93" t="s">
        <v>13</v>
      </c>
      <c r="E20" s="93"/>
      <c r="F20" s="93"/>
      <c r="G20" s="23">
        <v>0.25</v>
      </c>
      <c r="H20" s="23"/>
    </row>
    <row r="21" spans="1:8" ht="15" customHeight="1" thickTop="1" x14ac:dyDescent="0.25">
      <c r="A21" s="6"/>
      <c r="D21" s="92" t="s">
        <v>15</v>
      </c>
      <c r="E21" s="92"/>
      <c r="F21" s="92"/>
      <c r="G21" s="14">
        <f>G19*(1+G20)</f>
        <v>135</v>
      </c>
      <c r="H21" s="14" t="s">
        <v>11</v>
      </c>
    </row>
    <row r="22" spans="1:8" x14ac:dyDescent="0.25">
      <c r="A22" s="7"/>
      <c r="B22" s="24"/>
      <c r="C22" s="24"/>
      <c r="D22" s="25"/>
      <c r="E22" s="25"/>
      <c r="F22" s="25"/>
      <c r="G22" s="8"/>
      <c r="H22" s="8"/>
    </row>
    <row r="23" spans="1:8" ht="15" customHeight="1" thickBot="1" x14ac:dyDescent="0.3">
      <c r="A23" s="30" t="s">
        <v>32</v>
      </c>
      <c r="B23" s="29" t="s">
        <v>59</v>
      </c>
      <c r="C23" s="29" t="s">
        <v>17</v>
      </c>
      <c r="D23" s="22" t="s">
        <v>49</v>
      </c>
      <c r="E23" s="22">
        <v>1</v>
      </c>
      <c r="F23" s="22">
        <v>1500</v>
      </c>
      <c r="G23" s="22">
        <f>E23*F23</f>
        <v>1500</v>
      </c>
      <c r="H23" s="22" t="s">
        <v>11</v>
      </c>
    </row>
    <row r="24" spans="1:8" ht="15" customHeight="1" thickTop="1" x14ac:dyDescent="0.25">
      <c r="A24" s="26"/>
      <c r="B24" s="94" t="s">
        <v>18</v>
      </c>
      <c r="C24" s="94"/>
      <c r="D24" s="94"/>
      <c r="E24" s="94"/>
      <c r="F24" s="94"/>
      <c r="G24" s="14">
        <f>G23-G21</f>
        <v>1365</v>
      </c>
      <c r="H24" s="14" t="s">
        <v>11</v>
      </c>
    </row>
    <row r="25" spans="1:8" ht="15" customHeight="1" thickBot="1" x14ac:dyDescent="0.3">
      <c r="A25" s="59"/>
      <c r="B25" s="59"/>
      <c r="C25" s="59"/>
      <c r="D25" s="59"/>
      <c r="E25" s="59"/>
      <c r="F25" s="60"/>
      <c r="G25" s="44"/>
      <c r="H25" s="43"/>
    </row>
    <row r="26" spans="1:8" ht="15" customHeight="1" thickBot="1" x14ac:dyDescent="0.3">
      <c r="A26" s="33" t="s">
        <v>19</v>
      </c>
      <c r="B26" s="34" t="s">
        <v>5</v>
      </c>
      <c r="C26" s="34" t="s">
        <v>6</v>
      </c>
      <c r="D26" s="35" t="s">
        <v>7</v>
      </c>
      <c r="E26" s="35" t="s">
        <v>20</v>
      </c>
      <c r="F26" s="35" t="s">
        <v>8</v>
      </c>
      <c r="G26" s="35" t="s">
        <v>9</v>
      </c>
      <c r="H26" s="36" t="s">
        <v>10</v>
      </c>
    </row>
    <row r="27" spans="1:8" ht="15" customHeight="1" x14ac:dyDescent="0.25">
      <c r="A27" s="37" t="s">
        <v>21</v>
      </c>
      <c r="B27" s="32" t="s">
        <v>60</v>
      </c>
      <c r="C27" s="14" t="s">
        <v>62</v>
      </c>
      <c r="D27" s="14" t="s">
        <v>61</v>
      </c>
      <c r="E27" s="14" t="s">
        <v>52</v>
      </c>
      <c r="F27" s="14">
        <v>2000</v>
      </c>
      <c r="G27" s="14">
        <v>10000</v>
      </c>
      <c r="H27" s="38" t="s">
        <v>11</v>
      </c>
    </row>
    <row r="28" spans="1:8" ht="15" customHeight="1" x14ac:dyDescent="0.25">
      <c r="A28" s="39"/>
      <c r="B28" s="28"/>
      <c r="C28" s="28"/>
      <c r="D28" s="13"/>
      <c r="E28" s="13"/>
      <c r="F28" s="13"/>
      <c r="G28" s="13"/>
      <c r="H28" s="20"/>
    </row>
    <row r="29" spans="1:8" ht="15" customHeight="1" x14ac:dyDescent="0.25">
      <c r="A29" s="82" t="s">
        <v>22</v>
      </c>
      <c r="B29" s="28" t="s">
        <v>48</v>
      </c>
      <c r="C29" s="28" t="s">
        <v>48</v>
      </c>
      <c r="D29" s="28" t="s">
        <v>48</v>
      </c>
      <c r="E29" s="28" t="s">
        <v>48</v>
      </c>
      <c r="F29" s="28" t="s">
        <v>48</v>
      </c>
      <c r="G29" s="28" t="s">
        <v>48</v>
      </c>
      <c r="H29" s="20" t="s">
        <v>11</v>
      </c>
    </row>
    <row r="30" spans="1:8" ht="15" customHeight="1" x14ac:dyDescent="0.25">
      <c r="A30" s="83"/>
      <c r="B30" s="28" t="s">
        <v>16</v>
      </c>
      <c r="C30" s="28" t="s">
        <v>17</v>
      </c>
      <c r="D30" s="13" t="s">
        <v>49</v>
      </c>
      <c r="E30" s="13">
        <v>1</v>
      </c>
      <c r="F30" s="13">
        <v>1500</v>
      </c>
      <c r="G30" s="13">
        <f t="shared" ref="G30" si="2">E30*F30</f>
        <v>1500</v>
      </c>
      <c r="H30" s="20" t="s">
        <v>11</v>
      </c>
    </row>
    <row r="31" spans="1:8" ht="15" customHeight="1" thickBot="1" x14ac:dyDescent="0.3">
      <c r="A31" s="84"/>
      <c r="B31" s="61" t="s">
        <v>48</v>
      </c>
      <c r="C31" s="61" t="s">
        <v>48</v>
      </c>
      <c r="D31" s="61" t="s">
        <v>48</v>
      </c>
      <c r="E31" s="61" t="s">
        <v>48</v>
      </c>
      <c r="F31" s="61" t="s">
        <v>48</v>
      </c>
      <c r="G31" s="61" t="s">
        <v>48</v>
      </c>
      <c r="H31" s="62" t="s">
        <v>11</v>
      </c>
    </row>
    <row r="32" spans="1:8" ht="15" customHeight="1" thickTop="1" thickBot="1" x14ac:dyDescent="0.3">
      <c r="A32" s="89" t="s">
        <v>23</v>
      </c>
      <c r="B32" s="90"/>
      <c r="C32" s="90"/>
      <c r="D32" s="90"/>
      <c r="E32" s="90"/>
      <c r="F32" s="91"/>
      <c r="G32" s="41">
        <f>G27-SUM(G29:G31)</f>
        <v>8500</v>
      </c>
      <c r="H32" s="42" t="s">
        <v>11</v>
      </c>
    </row>
    <row r="33" spans="1:9" ht="15" customHeight="1" thickBot="1" x14ac:dyDescent="0.3">
      <c r="A33" s="6"/>
      <c r="B33" s="16"/>
      <c r="C33" s="16"/>
      <c r="D33" s="10"/>
      <c r="E33" s="25"/>
      <c r="F33" s="25"/>
      <c r="G33" s="25"/>
      <c r="H33" s="25"/>
    </row>
    <row r="34" spans="1:9" ht="15" customHeight="1" x14ac:dyDescent="0.25">
      <c r="A34" s="85" t="s">
        <v>36</v>
      </c>
      <c r="B34" s="86"/>
      <c r="C34" s="86"/>
      <c r="D34" s="86"/>
      <c r="E34" s="86"/>
      <c r="F34" s="86"/>
      <c r="G34" s="48"/>
      <c r="H34" s="49"/>
      <c r="I34" s="16"/>
    </row>
    <row r="35" spans="1:9" ht="47.25" x14ac:dyDescent="0.25">
      <c r="A35" s="56"/>
      <c r="B35" s="57" t="s">
        <v>5</v>
      </c>
      <c r="C35" s="57" t="s">
        <v>6</v>
      </c>
      <c r="D35" s="19" t="s">
        <v>7</v>
      </c>
      <c r="E35" s="18"/>
      <c r="F35" s="19" t="s">
        <v>24</v>
      </c>
      <c r="G35" s="19" t="s">
        <v>25</v>
      </c>
      <c r="H35" s="58"/>
    </row>
    <row r="36" spans="1:9" ht="15" customHeight="1" thickBot="1" x14ac:dyDescent="0.3">
      <c r="A36" s="50"/>
      <c r="B36" s="21" t="s">
        <v>48</v>
      </c>
      <c r="C36" s="21" t="s">
        <v>48</v>
      </c>
      <c r="D36" s="21" t="s">
        <v>48</v>
      </c>
      <c r="E36" s="21" t="s">
        <v>48</v>
      </c>
      <c r="F36" s="21" t="s">
        <v>48</v>
      </c>
      <c r="G36" s="21" t="s">
        <v>48</v>
      </c>
      <c r="H36" s="40"/>
    </row>
    <row r="37" spans="1:9" ht="15" customHeight="1" thickTop="1" thickBot="1" x14ac:dyDescent="0.3">
      <c r="A37" s="51"/>
      <c r="B37" s="47"/>
      <c r="C37" s="47"/>
      <c r="D37" s="52"/>
      <c r="E37" s="52"/>
      <c r="F37" s="53" t="s">
        <v>26</v>
      </c>
      <c r="G37" s="54" t="e">
        <f>F36/G36</f>
        <v>#VALUE!</v>
      </c>
      <c r="H37" s="55" t="s">
        <v>27</v>
      </c>
    </row>
    <row r="38" spans="1:9" ht="15" customHeight="1" thickBot="1" x14ac:dyDescent="0.3">
      <c r="A38" s="16"/>
      <c r="D38" s="5"/>
      <c r="E38" s="5"/>
      <c r="F38" s="17"/>
      <c r="G38" s="25"/>
      <c r="H38" s="25"/>
    </row>
    <row r="39" spans="1:9" ht="15" customHeight="1" x14ac:dyDescent="0.25">
      <c r="A39" s="87" t="s">
        <v>35</v>
      </c>
      <c r="B39" s="88"/>
      <c r="C39" s="88"/>
      <c r="D39" s="88"/>
      <c r="E39" s="88"/>
      <c r="F39" s="88"/>
      <c r="G39" s="45"/>
      <c r="H39" s="46"/>
    </row>
    <row r="40" spans="1:9" ht="15" customHeight="1" x14ac:dyDescent="0.25">
      <c r="A40" s="76" t="s">
        <v>28</v>
      </c>
      <c r="B40" s="77"/>
      <c r="C40" s="77"/>
      <c r="D40" s="77"/>
      <c r="E40" s="77"/>
      <c r="F40" s="77"/>
      <c r="G40" s="77"/>
      <c r="H40" s="78"/>
    </row>
    <row r="41" spans="1:9" ht="32.25" customHeight="1" thickBot="1" x14ac:dyDescent="0.3">
      <c r="A41" s="79" t="s">
        <v>29</v>
      </c>
      <c r="B41" s="80"/>
      <c r="C41" s="80"/>
      <c r="D41" s="80"/>
      <c r="E41" s="80"/>
      <c r="F41" s="80"/>
      <c r="G41" s="80"/>
      <c r="H41" s="81"/>
    </row>
    <row r="42" spans="1:9" ht="15" customHeight="1" x14ac:dyDescent="0.25">
      <c r="I42" s="16"/>
    </row>
    <row r="43" spans="1:9" s="16" customFormat="1" ht="15" customHeight="1" x14ac:dyDescent="0.25">
      <c r="A43" s="1"/>
      <c r="B43" s="1"/>
      <c r="C43" s="1"/>
      <c r="D43" s="1"/>
      <c r="E43" s="1"/>
      <c r="F43" s="5"/>
      <c r="G43" s="5"/>
      <c r="H43" s="5"/>
      <c r="I43" s="1"/>
    </row>
    <row r="44" spans="1:9" x14ac:dyDescent="0.25"/>
    <row r="45" spans="1:9" ht="15" customHeight="1" x14ac:dyDescent="0.25"/>
    <row r="46" spans="1:9" ht="15" customHeight="1" x14ac:dyDescent="0.25"/>
    <row r="47" spans="1:9" ht="15" customHeight="1" x14ac:dyDescent="0.25"/>
    <row r="48" spans="1:9" ht="15" customHeight="1" x14ac:dyDescent="0.25"/>
    <row r="49" spans="9:10" x14ac:dyDescent="0.25"/>
    <row r="50" spans="9:10" ht="15" customHeight="1" x14ac:dyDescent="0.25"/>
    <row r="51" spans="9:10" ht="15" customHeight="1" x14ac:dyDescent="0.25">
      <c r="I51" s="16"/>
    </row>
    <row r="52" spans="9:10" x14ac:dyDescent="0.25"/>
    <row r="53" spans="9:10" ht="15" customHeight="1" x14ac:dyDescent="0.25">
      <c r="J53" s="16"/>
    </row>
    <row r="54" spans="9:10" ht="15" customHeight="1" x14ac:dyDescent="0.25"/>
    <row r="55" spans="9:10" ht="15" customHeight="1" x14ac:dyDescent="0.25"/>
    <row r="56" spans="9:10" ht="15" customHeight="1" x14ac:dyDescent="0.25"/>
    <row r="57" spans="9:10" ht="15" customHeight="1" x14ac:dyDescent="0.25"/>
    <row r="58" spans="9:10" ht="15" customHeight="1" x14ac:dyDescent="0.25"/>
    <row r="59" spans="9:10" ht="15" customHeight="1" x14ac:dyDescent="0.25"/>
    <row r="60" spans="9:10" ht="15" customHeight="1" x14ac:dyDescent="0.25"/>
    <row r="61" spans="9:10" x14ac:dyDescent="0.25"/>
    <row r="62" spans="9:10" ht="15" customHeight="1" x14ac:dyDescent="0.25"/>
    <row r="63" spans="9:10" ht="15" customHeight="1" x14ac:dyDescent="0.25"/>
    <row r="64" spans="9:10" ht="15" customHeight="1" x14ac:dyDescent="0.25"/>
    <row r="65" ht="15" customHeight="1" x14ac:dyDescent="0.25"/>
    <row r="66" ht="15" customHeight="1" x14ac:dyDescent="0.25"/>
    <row r="67" ht="15" customHeight="1" x14ac:dyDescent="0.25"/>
  </sheetData>
  <mergeCells count="12">
    <mergeCell ref="D19:F19"/>
    <mergeCell ref="D20:F20"/>
    <mergeCell ref="B24:F24"/>
    <mergeCell ref="D21:F21"/>
    <mergeCell ref="A1:H1"/>
    <mergeCell ref="A7:H7"/>
    <mergeCell ref="A40:H40"/>
    <mergeCell ref="A41:H41"/>
    <mergeCell ref="A29:A31"/>
    <mergeCell ref="A34:F34"/>
    <mergeCell ref="A39:F39"/>
    <mergeCell ref="A32:F32"/>
  </mergeCells>
  <conditionalFormatting sqref="G24 G1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92" fitToHeight="0" orientation="landscape" r:id="rId1"/>
  <rowBreaks count="2" manualBreakCount="2">
    <brk id="12" max="7" man="1"/>
    <brk id="24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Rylee Wirt</dc:creator>
  <cp:lastModifiedBy>Rylee Wirt</cp:lastModifiedBy>
  <cp:lastPrinted>2025-12-06T23:52:12Z</cp:lastPrinted>
  <dcterms:created xsi:type="dcterms:W3CDTF">2025-10-27T06:29:19Z</dcterms:created>
  <dcterms:modified xsi:type="dcterms:W3CDTF">2025-12-06T23:52:40Z</dcterms:modified>
</cp:coreProperties>
</file>